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20617\OneDrive - Beycelik Gestamp\Masaüstü\PHIL-TEXT\"/>
    </mc:Choice>
  </mc:AlternateContent>
  <xr:revisionPtr revIDLastSave="0" documentId="13_ncr:1_{E4B0C3C4-1FF1-4341-982C-DFA44C58FCA5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Proje Şeması" sheetId="1" r:id="rId1"/>
    <sheet name="Kurulum Rehberi" sheetId="2" r:id="rId2"/>
    <sheet name="Görev Takip" sheetId="3" r:id="rId3"/>
    <sheet name="İlerleme Paneli" sheetId="4" r:id="rId4"/>
    <sheet name="Proje Yapısı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4" l="1"/>
  <c r="C10" i="4"/>
  <c r="B10" i="4"/>
  <c r="E10" i="4" s="1"/>
  <c r="E9" i="4"/>
  <c r="F9" i="4" s="1"/>
  <c r="E8" i="4"/>
  <c r="F8" i="4" s="1"/>
  <c r="F7" i="4"/>
  <c r="E7" i="4"/>
  <c r="F6" i="4"/>
  <c r="E6" i="4"/>
  <c r="F5" i="4"/>
  <c r="E5" i="4"/>
  <c r="E4" i="4"/>
  <c r="F4" i="4" s="1"/>
</calcChain>
</file>

<file path=xl/sharedStrings.xml><?xml version="1.0" encoding="utf-8"?>
<sst xmlns="http://schemas.openxmlformats.org/spreadsheetml/2006/main" count="503" uniqueCount="381">
  <si>
    <t>🧠 AI / ML PROJE ŞEMASI</t>
  </si>
  <si>
    <t>Proje Adı:</t>
  </si>
  <si>
    <t>Başlangıç:</t>
  </si>
  <si>
    <t>[Tarih]</t>
  </si>
  <si>
    <t>Bitiş:</t>
  </si>
  <si>
    <t>Proje Yöneticisi:</t>
  </si>
  <si>
    <t>Durum:</t>
  </si>
  <si>
    <t>Planlama</t>
  </si>
  <si>
    <t>Öncelik:</t>
  </si>
  <si>
    <t>Yüksek</t>
  </si>
  <si>
    <t>Açıklama:</t>
  </si>
  <si>
    <t>📋 PROJE FAZLARI VE ADIMLARI</t>
  </si>
  <si>
    <t>Faz</t>
  </si>
  <si>
    <t>Adım</t>
  </si>
  <si>
    <t>Açıklama</t>
  </si>
  <si>
    <t>Çıktı</t>
  </si>
  <si>
    <t>Tahmini Süre</t>
  </si>
  <si>
    <t>Bağımlılık</t>
  </si>
  <si>
    <t>Durum</t>
  </si>
  <si>
    <t>📌 Faz 1: Planlama</t>
  </si>
  <si>
    <t>1.1 Problem Tanımı</t>
  </si>
  <si>
    <t>İş problemini ve ML hedeflerini belirle</t>
  </si>
  <si>
    <t>Problem tanım dokümanı</t>
  </si>
  <si>
    <t>2-3 gün</t>
  </si>
  <si>
    <t>-</t>
  </si>
  <si>
    <t>⬜ Bekliyor</t>
  </si>
  <si>
    <t>1.2 Veri Kaynakları Analizi</t>
  </si>
  <si>
    <t>Mevcut veri kaynaklarını tespit et</t>
  </si>
  <si>
    <t>Veri envanteri</t>
  </si>
  <si>
    <t>1.1</t>
  </si>
  <si>
    <t>1.3 Başarı Metrikleri</t>
  </si>
  <si>
    <t>KPI ve model performans metrikleri belirle</t>
  </si>
  <si>
    <t>Metrik listesi</t>
  </si>
  <si>
    <t>1-2 gün</t>
  </si>
  <si>
    <t>1.4 Proje Takvimi</t>
  </si>
  <si>
    <t>Detaylı zaman çizelgesi oluştur</t>
  </si>
  <si>
    <t>Gantt chart</t>
  </si>
  <si>
    <t>1 gün</t>
  </si>
  <si>
    <t>1.1-1.3</t>
  </si>
  <si>
    <t>🔧 Faz 2: Ortam Kurulumu</t>
  </si>
  <si>
    <t>2.1 Python Ortamı</t>
  </si>
  <si>
    <t>Python 3.10+, venv/conda kurulumu</t>
  </si>
  <si>
    <t>Çalışan ortam</t>
  </si>
  <si>
    <t>0.5 gün</t>
  </si>
  <si>
    <t>2.2 Kütüphane Kurulumu</t>
  </si>
  <si>
    <t>requirements.txt ile paketleri kur</t>
  </si>
  <si>
    <t>Kurulu paketler</t>
  </si>
  <si>
    <t>2.1</t>
  </si>
  <si>
    <t>2.3 Versiyon Kontrolü</t>
  </si>
  <si>
    <t>Git repo oluştur, .gitignore ayarla</t>
  </si>
  <si>
    <t>Git repo</t>
  </si>
  <si>
    <t>2.4 Proje Yapısı</t>
  </si>
  <si>
    <t>Klasör yapısını oluştur (src/, data/, notebooks/)</t>
  </si>
  <si>
    <t>Proje iskelet</t>
  </si>
  <si>
    <t>2.1-2.3</t>
  </si>
  <si>
    <t>📊 Faz 3: Veri Hazırlama</t>
  </si>
  <si>
    <t>3.1 Veri Toplama</t>
  </si>
  <si>
    <t>Kaynaklardan veri çekme / API entegrasyonu</t>
  </si>
  <si>
    <t>Ham veri seti</t>
  </si>
  <si>
    <t>3-5 gün</t>
  </si>
  <si>
    <t>2.4</t>
  </si>
  <si>
    <t>3.2 EDA (Keşifsel Analiz)</t>
  </si>
  <si>
    <t>Veri dağılımları, korelasyonlar, anomaliler</t>
  </si>
  <si>
    <t>EDA raporu/notebook</t>
  </si>
  <si>
    <t>3.1</t>
  </si>
  <si>
    <t>3.3 Veri Temizleme</t>
  </si>
  <si>
    <t>Eksik veri, outlier, duplikasyon işleme</t>
  </si>
  <si>
    <t>Temiz veri seti</t>
  </si>
  <si>
    <t>3.2</t>
  </si>
  <si>
    <t>3.4 Feature Engineering</t>
  </si>
  <si>
    <t>Yeni öznitelikler türetme, encoding, scaling</t>
  </si>
  <si>
    <t>İşlenmiş veri seti</t>
  </si>
  <si>
    <t>3.3</t>
  </si>
  <si>
    <t>🤖 Faz 4: Modelleme</t>
  </si>
  <si>
    <t>4.1 Baseline Model</t>
  </si>
  <si>
    <t>Basit model ile benchmark oluştur</t>
  </si>
  <si>
    <t>Baseline sonuçları</t>
  </si>
  <si>
    <t>3.4</t>
  </si>
  <si>
    <t>4.2 Model Geliştirme</t>
  </si>
  <si>
    <t>Farklı algoritmaları dene ve karşılaştır</t>
  </si>
  <si>
    <t>Model karşılaştırma</t>
  </si>
  <si>
    <t>5-10 gün</t>
  </si>
  <si>
    <t>4.1</t>
  </si>
  <si>
    <t>4.3 Hiperparametre Optimizasyonu</t>
  </si>
  <si>
    <t>Grid/Random/Bayesian search</t>
  </si>
  <si>
    <t>Optimize model</t>
  </si>
  <si>
    <t>4.2</t>
  </si>
  <si>
    <t>4.4 Model Değerlendirme</t>
  </si>
  <si>
    <t>Cross-validation, metrik analizi</t>
  </si>
  <si>
    <t>Değerlendirme raporu</t>
  </si>
  <si>
    <t>4.3</t>
  </si>
  <si>
    <t>🚀 Faz 5: Deployment</t>
  </si>
  <si>
    <t>5.1 Model Paketleme</t>
  </si>
  <si>
    <t>Model serialization (pickle/joblib/ONNX)</t>
  </si>
  <si>
    <t>Paketlenmiş model</t>
  </si>
  <si>
    <t>4.4</t>
  </si>
  <si>
    <t>5.2 API Geliştirme</t>
  </si>
  <si>
    <t>Flask/FastAPI ile REST API oluştur</t>
  </si>
  <si>
    <t>Çalışan API</t>
  </si>
  <si>
    <t>5.1</t>
  </si>
  <si>
    <t>5.3 Test &amp; Validasyon</t>
  </si>
  <si>
    <t>Unit test, integration test, load test</t>
  </si>
  <si>
    <t>Test raporu</t>
  </si>
  <si>
    <t>5.2</t>
  </si>
  <si>
    <t>5.4 Production Deploy</t>
  </si>
  <si>
    <t>Docker, CI/CD, monitoring kurulumu</t>
  </si>
  <si>
    <t>Canlı sistem</t>
  </si>
  <si>
    <t>5.3</t>
  </si>
  <si>
    <t>📈 Faz 6: İzleme &amp; Bakım</t>
  </si>
  <si>
    <t>6.1 Model Monitoring</t>
  </si>
  <si>
    <t>Performans izleme dashboardı</t>
  </si>
  <si>
    <t>Monitoring sistemi</t>
  </si>
  <si>
    <t>5.4</t>
  </si>
  <si>
    <t>6.2 Data Drift Tespiti</t>
  </si>
  <si>
    <t>Veri dağılım değişikliği izleme</t>
  </si>
  <si>
    <t>Drift alertleri</t>
  </si>
  <si>
    <t>6.1</t>
  </si>
  <si>
    <t>6.3 Re-training Pipeline</t>
  </si>
  <si>
    <t>Otomatik yeniden eğitim pipeline'ı</t>
  </si>
  <si>
    <t>MLOps pipeline</t>
  </si>
  <si>
    <t>6.2</t>
  </si>
  <si>
    <t>🔧 KURULUM VE HAZIRLIK REHBERİ</t>
  </si>
  <si>
    <t>#</t>
  </si>
  <si>
    <t>Kurulum Adımı</t>
  </si>
  <si>
    <t>Komut / Açıklama</t>
  </si>
  <si>
    <t>Notlar</t>
  </si>
  <si>
    <t>Link</t>
  </si>
  <si>
    <t>🐍 PYTHON ORTAMI</t>
  </si>
  <si>
    <t>1</t>
  </si>
  <si>
    <t>Python 3.10+ Kur</t>
  </si>
  <si>
    <t>python.org'dan indir veya: sudo apt install python3.10</t>
  </si>
  <si>
    <t>3.10, 3.11 veya 3.12 önerilir</t>
  </si>
  <si>
    <t>⬜</t>
  </si>
  <si>
    <t>https://www.python.org/downloads/</t>
  </si>
  <si>
    <t>2</t>
  </si>
  <si>
    <t>pip Güncelle</t>
  </si>
  <si>
    <t>python -m pip install --upgrade pip</t>
  </si>
  <si>
    <t>En güncel pip versiyonu</t>
  </si>
  <si>
    <t>3</t>
  </si>
  <si>
    <t>Virtual Environment Oluştur</t>
  </si>
  <si>
    <t>python -m venv venv &amp;&amp; source venv/bin/activate</t>
  </si>
  <si>
    <t>Her proje için ayrı venv!</t>
  </si>
  <si>
    <t>4</t>
  </si>
  <si>
    <t>Conda Alternatifi</t>
  </si>
  <si>
    <t>conda create -n myproject python=3.11 &amp;&amp; conda activate myproject</t>
  </si>
  <si>
    <t>Anaconda/Miniconda gerektirir</t>
  </si>
  <si>
    <t>https://docs.conda.io/</t>
  </si>
  <si>
    <t>📦 TEMEL KÜTÜPHANELER</t>
  </si>
  <si>
    <t>5</t>
  </si>
  <si>
    <t>NumPy &amp; Pandas</t>
  </si>
  <si>
    <t>pip install numpy pandas</t>
  </si>
  <si>
    <t>Veri manipülasyonu temel</t>
  </si>
  <si>
    <t>6</t>
  </si>
  <si>
    <t>Scikit-learn</t>
  </si>
  <si>
    <t>pip install scikit-learn</t>
  </si>
  <si>
    <t>Klasik ML algoritmaları</t>
  </si>
  <si>
    <t>https://scikit-learn.org/</t>
  </si>
  <si>
    <t>7</t>
  </si>
  <si>
    <t>Matplotlib &amp; Seaborn</t>
  </si>
  <si>
    <t>pip install matplotlib seaborn</t>
  </si>
  <si>
    <t>Görselleştirme</t>
  </si>
  <si>
    <t>8</t>
  </si>
  <si>
    <t>Jupyter Notebook</t>
  </si>
  <si>
    <t>pip install jupyterlab notebook</t>
  </si>
  <si>
    <t>İnteraktif geliştirme</t>
  </si>
  <si>
    <t>🧠 DERİN ÖĞRENME (Opsiyonel)</t>
  </si>
  <si>
    <t>9</t>
  </si>
  <si>
    <t>PyTorch</t>
  </si>
  <si>
    <t>pip install torch torchvision torchaudio</t>
  </si>
  <si>
    <t>GPU desteği için CUDA gerekli</t>
  </si>
  <si>
    <t>https://pytorch.org/</t>
  </si>
  <si>
    <t>10</t>
  </si>
  <si>
    <t>TensorFlow</t>
  </si>
  <si>
    <t>pip install tensorflow</t>
  </si>
  <si>
    <t>Alternatif DL framework</t>
  </si>
  <si>
    <t>https://www.tensorflow.org/</t>
  </si>
  <si>
    <t>11</t>
  </si>
  <si>
    <t>Hugging Face Transformers</t>
  </si>
  <si>
    <t>pip install transformers datasets</t>
  </si>
  <si>
    <t>NLP / LLM projeleri için</t>
  </si>
  <si>
    <t>https://huggingface.co/</t>
  </si>
  <si>
    <t>🛠️ GELİŞTİRME ARAÇLARI</t>
  </si>
  <si>
    <t>12</t>
  </si>
  <si>
    <t>Git Kurulumu</t>
  </si>
  <si>
    <t>sudo apt install git &amp;&amp; git config --global user.name 'İsim'</t>
  </si>
  <si>
    <t>Versiyon kontrol sistemi</t>
  </si>
  <si>
    <t>https://git-scm.com/</t>
  </si>
  <si>
    <t>13</t>
  </si>
  <si>
    <t>VS Code + Eklentiler</t>
  </si>
  <si>
    <t>Python, Jupyter, GitLens eklentilerini kur</t>
  </si>
  <si>
    <t>Önerilen IDE</t>
  </si>
  <si>
    <t>https://code.visualstudio.com/</t>
  </si>
  <si>
    <t>14</t>
  </si>
  <si>
    <t>Docker (Opsiyonel)</t>
  </si>
  <si>
    <t>docker.com'dan Docker Desktop kur</t>
  </si>
  <si>
    <t>Deployment için gerekli</t>
  </si>
  <si>
    <t>https://www.docker.com/</t>
  </si>
  <si>
    <t>15</t>
  </si>
  <si>
    <t>DVC (Data Version Control)</t>
  </si>
  <si>
    <t>pip install dvc</t>
  </si>
  <si>
    <t>Veri versiyonlama</t>
  </si>
  <si>
    <t>https://dvc.org/</t>
  </si>
  <si>
    <t>📂 PROJE YAPISINI OLUŞTUR</t>
  </si>
  <si>
    <t>16</t>
  </si>
  <si>
    <t>Ana Klasörler</t>
  </si>
  <si>
    <t>mkdir -p src data/raw data/processed models notebooks tests configs</t>
  </si>
  <si>
    <t>Standart ML proje yapısı</t>
  </si>
  <si>
    <t>17</t>
  </si>
  <si>
    <t>requirements.txt Oluştur</t>
  </si>
  <si>
    <t>pip freeze &gt; requirements.txt</t>
  </si>
  <si>
    <t>Bağımlılıkları kaydet</t>
  </si>
  <si>
    <t>18</t>
  </si>
  <si>
    <t>.gitignore Ayarla</t>
  </si>
  <si>
    <t>data/, models/, *.pyc, __pycache__/, .env, venv/</t>
  </si>
  <si>
    <t>Hassas/büyük dosyaları hariç tut</t>
  </si>
  <si>
    <t>19</t>
  </si>
  <si>
    <t>README.md Yaz</t>
  </si>
  <si>
    <t>Proje açıklaması, kurulum adımları, kullanım</t>
  </si>
  <si>
    <t>Dokümantasyon başlangıcı</t>
  </si>
  <si>
    <t>20</t>
  </si>
  <si>
    <t>.env Dosyası</t>
  </si>
  <si>
    <t>API anahtarları, DB bağlantıları gibi gizli bilgiler</t>
  </si>
  <si>
    <t>Asla git'e ekleme!</t>
  </si>
  <si>
    <t>📋 GÖREV TAKİP TABLOSU</t>
  </si>
  <si>
    <t>ID</t>
  </si>
  <si>
    <t>Görev Adı</t>
  </si>
  <si>
    <t>Atanan Kişi</t>
  </si>
  <si>
    <t>Öncelik</t>
  </si>
  <si>
    <t>Başlangıç</t>
  </si>
  <si>
    <t>Bitiş</t>
  </si>
  <si>
    <t>T-001</t>
  </si>
  <si>
    <t>Problem tanımı ve scope belirleme</t>
  </si>
  <si>
    <t>🔴 Yüksek</t>
  </si>
  <si>
    <t>T-002</t>
  </si>
  <si>
    <t>Veri kaynakları envanteri</t>
  </si>
  <si>
    <t>T-003</t>
  </si>
  <si>
    <t>Başarı metrikleri tanımlama</t>
  </si>
  <si>
    <t>🟡 Orta</t>
  </si>
  <si>
    <t>T-004</t>
  </si>
  <si>
    <t>Kurulum</t>
  </si>
  <si>
    <t>Python ortamı kurulumu</t>
  </si>
  <si>
    <t>T-005</t>
  </si>
  <si>
    <t>Git repo oluşturma</t>
  </si>
  <si>
    <t>T-006</t>
  </si>
  <si>
    <t>Kütüphane kurulumları</t>
  </si>
  <si>
    <t>T-007</t>
  </si>
  <si>
    <t>Proje klasör yapısı</t>
  </si>
  <si>
    <t>T-008</t>
  </si>
  <si>
    <t>Veri</t>
  </si>
  <si>
    <t>Veri toplama / API entegrasyonu</t>
  </si>
  <si>
    <t>T-009</t>
  </si>
  <si>
    <t>EDA (Keşifsel Veri Analizi)</t>
  </si>
  <si>
    <t>T-010</t>
  </si>
  <si>
    <t>Veri temizleme &amp; preprocessing</t>
  </si>
  <si>
    <t>T-011</t>
  </si>
  <si>
    <t>Feature engineering</t>
  </si>
  <si>
    <t>T-012</t>
  </si>
  <si>
    <t>Modelleme</t>
  </si>
  <si>
    <t>Baseline model oluşturma</t>
  </si>
  <si>
    <t>T-013</t>
  </si>
  <si>
    <t>Model denemeleri &amp; karşılaştırma</t>
  </si>
  <si>
    <t>T-014</t>
  </si>
  <si>
    <t>Hiperparametre optimizasyonu</t>
  </si>
  <si>
    <t>T-015</t>
  </si>
  <si>
    <t>Model değerlendirme raporu</t>
  </si>
  <si>
    <t>T-016</t>
  </si>
  <si>
    <t>Deployment</t>
  </si>
  <si>
    <t>Model paketleme (serialization)</t>
  </si>
  <si>
    <t>T-017</t>
  </si>
  <si>
    <t>REST API geliştirme (Flask/FastAPI)</t>
  </si>
  <si>
    <t>T-018</t>
  </si>
  <si>
    <t>Test &amp; validasyon</t>
  </si>
  <si>
    <t>T-019</t>
  </si>
  <si>
    <t>Docker &amp; CI/CD kurulumu</t>
  </si>
  <si>
    <t>T-020</t>
  </si>
  <si>
    <t>İzleme</t>
  </si>
  <si>
    <t>Model monitoring sistemi</t>
  </si>
  <si>
    <t>🟢 Düşük</t>
  </si>
  <si>
    <t>📌 Durum Açıklamaları:  ⬜ Bekliyor  |  🔄 Devam Ediyor  |  ✅ Tamamlandı  |  ⏸ Beklemede  |  ❌ İptal</t>
  </si>
  <si>
    <t>📈 İLERLEME PANELİ</t>
  </si>
  <si>
    <t>Toplam Görev</t>
  </si>
  <si>
    <t>Tamamlanan</t>
  </si>
  <si>
    <t>Devam Eden</t>
  </si>
  <si>
    <t>Tamamlanma %</t>
  </si>
  <si>
    <t>Faz 1: Planlama</t>
  </si>
  <si>
    <t>Faz 2: Ortam Kurulumu</t>
  </si>
  <si>
    <t>Faz 3: Veri Hazırlama</t>
  </si>
  <si>
    <t>Faz 4: Modelleme</t>
  </si>
  <si>
    <t>Faz 5: Deployment</t>
  </si>
  <si>
    <t>Faz 6: İzleme &amp; Bakım</t>
  </si>
  <si>
    <t>TOPLAM</t>
  </si>
  <si>
    <t>📁 ÖNERİLEN PROJE KLASÖR YAPISI</t>
  </si>
  <si>
    <t>Yol</t>
  </si>
  <si>
    <t>my-ml-project/</t>
  </si>
  <si>
    <t>Ana proje klasörü</t>
  </si>
  <si>
    <t>├── README.md</t>
  </si>
  <si>
    <t>Proje dokümantasyonu</t>
  </si>
  <si>
    <t>├── requirements.txt</t>
  </si>
  <si>
    <t>Python bağımlılıkları</t>
  </si>
  <si>
    <t>├── setup.py</t>
  </si>
  <si>
    <t>Paket kurulum dosyası</t>
  </si>
  <si>
    <t>├── .env</t>
  </si>
  <si>
    <t>Gizli anahtarlar (git'e ekleme!)</t>
  </si>
  <si>
    <t>├── .gitignore</t>
  </si>
  <si>
    <t>Git hariç tutma kuralları</t>
  </si>
  <si>
    <t>├── configs/</t>
  </si>
  <si>
    <t>Yapılandırma dosyaları</t>
  </si>
  <si>
    <t>│   ├── config.yaml</t>
  </si>
  <si>
    <t>Ana konfigürasyon</t>
  </si>
  <si>
    <t>│   └── model_config.yaml</t>
  </si>
  <si>
    <t>Model parametreleri</t>
  </si>
  <si>
    <t>├── data/</t>
  </si>
  <si>
    <t>Veri klasörü (git'e ekleme!)</t>
  </si>
  <si>
    <t>│   ├── raw/</t>
  </si>
  <si>
    <t>Ham veri</t>
  </si>
  <si>
    <t>│   ├── processed/</t>
  </si>
  <si>
    <t>İşlenmiş veri</t>
  </si>
  <si>
    <t>│   └── external/</t>
  </si>
  <si>
    <t>Dış kaynak verileri</t>
  </si>
  <si>
    <t>├── notebooks/</t>
  </si>
  <si>
    <t>Jupyter notebook'lar</t>
  </si>
  <si>
    <t>│   ├── 01_eda.ipynb</t>
  </si>
  <si>
    <t>Keşifsel veri analizi</t>
  </si>
  <si>
    <t>│   ├── 02_preprocessing.ipynb</t>
  </si>
  <si>
    <t>Veri ön işleme</t>
  </si>
  <si>
    <t>│   └── 03_modeling.ipynb</t>
  </si>
  <si>
    <t>Model geliştirme</t>
  </si>
  <si>
    <t>├── src/</t>
  </si>
  <si>
    <t>Kaynak kodu</t>
  </si>
  <si>
    <t>│   ├── __init__.py</t>
  </si>
  <si>
    <t>Paket başlatıcı</t>
  </si>
  <si>
    <t>│   ├── data/</t>
  </si>
  <si>
    <t>Veri işleme modülleri</t>
  </si>
  <si>
    <t>│   │   ├── load_data.py</t>
  </si>
  <si>
    <t>Veri yükleme</t>
  </si>
  <si>
    <t>│   │   └── preprocess.py</t>
  </si>
  <si>
    <t>Ön işleme fonksiyonları</t>
  </si>
  <si>
    <t>│   ├── features/</t>
  </si>
  <si>
    <t>│   │   └── build_features.py</t>
  </si>
  <si>
    <t>Öznitelik oluşturma</t>
  </si>
  <si>
    <t>│   ├── models/</t>
  </si>
  <si>
    <t>Model tanımları</t>
  </si>
  <si>
    <t>│   │   ├── train.py</t>
  </si>
  <si>
    <t>Eğitim scripti</t>
  </si>
  <si>
    <t>│   │   ├── predict.py</t>
  </si>
  <si>
    <t>Tahmin scripti</t>
  </si>
  <si>
    <t>│   │   └── evaluate.py</t>
  </si>
  <si>
    <t>Değerlendirme</t>
  </si>
  <si>
    <t>│   └── utils/</t>
  </si>
  <si>
    <t>Yardımcı fonksiyonlar</t>
  </si>
  <si>
    <t>│       └── helpers.py</t>
  </si>
  <si>
    <t>Genel yardımcılar</t>
  </si>
  <si>
    <t>├── models/</t>
  </si>
  <si>
    <t>Eğitilmiş modeller (git'e ekleme!)</t>
  </si>
  <si>
    <t>│   └── model_v1.pkl</t>
  </si>
  <si>
    <t>Serialized model dosyası</t>
  </si>
  <si>
    <t>├── tests/</t>
  </si>
  <si>
    <t>Test dosyaları</t>
  </si>
  <si>
    <t>│   ├── test_data.py</t>
  </si>
  <si>
    <t>Veri testleri</t>
  </si>
  <si>
    <t>│   └── test_model.py</t>
  </si>
  <si>
    <t>Model testleri</t>
  </si>
  <si>
    <t>├── api/</t>
  </si>
  <si>
    <t>API dosyaları</t>
  </si>
  <si>
    <t>│   ├── app.py</t>
  </si>
  <si>
    <t>Flask/FastAPI uygulaması</t>
  </si>
  <si>
    <t>│   └── schemas.py</t>
  </si>
  <si>
    <t>Request/Response şemaları</t>
  </si>
  <si>
    <t>├── docker/</t>
  </si>
  <si>
    <t>Docker dosyaları</t>
  </si>
  <si>
    <t>│   ├── Dockerfile</t>
  </si>
  <si>
    <t>Container tanımı</t>
  </si>
  <si>
    <t>│   └── docker-compose.yml</t>
  </si>
  <si>
    <t>Servis yapılandırması</t>
  </si>
  <si>
    <t>└── docs/</t>
  </si>
  <si>
    <t>Ek dokümantasyon</t>
  </si>
  <si>
    <t xml:space="preserve">    └── architecture.md</t>
  </si>
  <si>
    <t>Mimari doküman</t>
  </si>
  <si>
    <t>PHILO-NLP PHILOPHICAL TEXT CLASSIFICATION ANDGENERATION</t>
  </si>
  <si>
    <t>Berkin Kabaağaç</t>
  </si>
  <si>
    <t>Genrate and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</si>
</sst>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B2A4A"/>
      <name val="Arial"/>
      <charset val="1"/>
    </font>
    <font>
      <b/>
      <sz val="11"/>
      <color rgb="FF1B2A4A"/>
      <name val="Arial"/>
      <charset val="1"/>
    </font>
    <font>
      <u/>
      <sz val="10"/>
      <color rgb="FF0563C1"/>
      <name val="Arial"/>
      <charset val="1"/>
    </font>
    <font>
      <i/>
      <sz val="10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1B2A4A"/>
      <name val="Consolas"/>
      <charset val="1"/>
    </font>
    <font>
      <sz val="10"/>
      <color rgb="FF000000"/>
      <name val="Consolas"/>
      <charset val="1"/>
    </font>
    <font>
      <b/>
      <sz val="8"/>
      <name val="Arial"/>
      <family val="2"/>
      <charset val="162"/>
    </font>
    <font>
      <sz val="10"/>
      <name val="Arial"/>
      <family val="2"/>
      <charset val="162"/>
    </font>
    <font>
      <b/>
      <sz val="10"/>
      <name val="Arial"/>
      <family val="2"/>
      <charset val="162"/>
    </font>
  </fonts>
  <fills count="1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2E5090"/>
        <bgColor rgb="FF0563C1"/>
      </patternFill>
    </fill>
    <fill>
      <patternFill patternType="solid">
        <fgColor rgb="FFFFF2CC"/>
        <bgColor rgb="FFFBE5D6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BE5D6"/>
      </patternFill>
    </fill>
    <fill>
      <patternFill patternType="solid">
        <fgColor rgb="FFFBE5D6"/>
        <bgColor rgb="FFFCE4D6"/>
      </patternFill>
    </fill>
    <fill>
      <patternFill patternType="solid">
        <fgColor rgb="FFE8D5F5"/>
        <bgColor rgb="FFD6E4F0"/>
      </patternFill>
    </fill>
    <fill>
      <patternFill patternType="solid">
        <fgColor rgb="FF548235"/>
        <bgColor rgb="FF666666"/>
      </patternFill>
    </fill>
    <fill>
      <patternFill patternType="solid">
        <fgColor rgb="FFED7D31"/>
        <bgColor rgb="FFFF8080"/>
      </patternFill>
    </fill>
    <fill>
      <patternFill patternType="solid">
        <fgColor rgb="FFF2F2F2"/>
        <bgColor rgb="FFF0EBFF"/>
      </patternFill>
    </fill>
    <fill>
      <patternFill patternType="solid">
        <fgColor rgb="FF4472C4"/>
        <bgColor rgb="FF2E5090"/>
      </patternFill>
    </fill>
    <fill>
      <patternFill patternType="solid">
        <fgColor rgb="FF7B68EE"/>
        <bgColor rgb="FF4472C4"/>
      </patternFill>
    </fill>
    <fill>
      <patternFill patternType="solid">
        <fgColor rgb="FFF0EBFF"/>
        <b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15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9" fillId="0" borderId="0" xfId="0" applyFont="1"/>
    <xf numFmtId="0" fontId="1" fillId="12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1" fillId="11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9" fontId="0" fillId="13" borderId="1" xfId="0" applyNumberForma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9" fontId="10" fillId="2" borderId="1" xfId="0" applyNumberFormat="1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0B0B0"/>
      <rgbColor rgb="FF7B68EE"/>
      <rgbColor rgb="FF9999FF"/>
      <rgbColor rgb="FF993366"/>
      <rgbColor rgb="FFFFF2CC"/>
      <rgbColor rgb="FFD6E4F0"/>
      <rgbColor rgb="FF660066"/>
      <rgbColor rgb="FFFF8080"/>
      <rgbColor rgb="FF0563C1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BE5D6"/>
      <rgbColor rgb="FFF0EB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ED7D31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E5090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G31"/>
  <sheetViews>
    <sheetView tabSelected="1" topLeftCell="A2" zoomScaleNormal="100" workbookViewId="0">
      <selection activeCell="C3" sqref="C3"/>
    </sheetView>
  </sheetViews>
  <sheetFormatPr defaultColWidth="8.6640625" defaultRowHeight="14.4" x14ac:dyDescent="0.3"/>
  <cols>
    <col min="1" max="1" width="24" customWidth="1"/>
    <col min="2" max="2" width="52" customWidth="1"/>
    <col min="3" max="3" width="42" customWidth="1"/>
    <col min="4" max="4" width="24" customWidth="1"/>
    <col min="5" max="7" width="14" customWidth="1"/>
  </cols>
  <sheetData>
    <row r="1" spans="1:7" ht="39.75" customHeight="1" x14ac:dyDescent="0.3">
      <c r="A1" s="8" t="s">
        <v>0</v>
      </c>
      <c r="B1" s="8"/>
      <c r="C1" s="8"/>
      <c r="D1" s="8"/>
      <c r="E1" s="8"/>
      <c r="F1" s="8"/>
      <c r="G1" s="8"/>
    </row>
    <row r="3" spans="1:7" x14ac:dyDescent="0.3">
      <c r="A3" s="9" t="s">
        <v>1</v>
      </c>
      <c r="B3" s="43" t="s">
        <v>378</v>
      </c>
      <c r="C3" s="10"/>
      <c r="D3" s="9" t="s">
        <v>2</v>
      </c>
      <c r="E3" s="10" t="s">
        <v>3</v>
      </c>
      <c r="F3" s="9" t="s">
        <v>4</v>
      </c>
      <c r="G3" s="10" t="s">
        <v>3</v>
      </c>
    </row>
    <row r="4" spans="1:7" x14ac:dyDescent="0.3">
      <c r="A4" s="9" t="s">
        <v>5</v>
      </c>
      <c r="B4" s="45" t="s">
        <v>379</v>
      </c>
      <c r="C4" s="10"/>
      <c r="D4" s="9" t="s">
        <v>6</v>
      </c>
      <c r="E4" s="10" t="s">
        <v>7</v>
      </c>
      <c r="F4" s="9" t="s">
        <v>8</v>
      </c>
      <c r="G4" s="10" t="s">
        <v>9</v>
      </c>
    </row>
    <row r="5" spans="1:7" x14ac:dyDescent="0.3">
      <c r="A5" s="9" t="s">
        <v>10</v>
      </c>
      <c r="B5" s="44" t="s">
        <v>380</v>
      </c>
      <c r="C5" s="10"/>
      <c r="D5" s="9"/>
      <c r="E5" s="10"/>
      <c r="F5" s="9"/>
      <c r="G5" s="10"/>
    </row>
    <row r="7" spans="1:7" ht="30" customHeight="1" x14ac:dyDescent="0.3">
      <c r="A7" s="7" t="s">
        <v>11</v>
      </c>
      <c r="B7" s="7"/>
      <c r="C7" s="7"/>
      <c r="D7" s="7"/>
      <c r="E7" s="7"/>
      <c r="F7" s="7"/>
      <c r="G7" s="7"/>
    </row>
    <row r="8" spans="1:7" x14ac:dyDescent="0.3">
      <c r="A8" s="11" t="s">
        <v>12</v>
      </c>
      <c r="B8" s="11" t="s">
        <v>13</v>
      </c>
      <c r="C8" s="11" t="s">
        <v>14</v>
      </c>
      <c r="D8" s="11" t="s">
        <v>15</v>
      </c>
      <c r="E8" s="11" t="s">
        <v>16</v>
      </c>
      <c r="F8" s="11" t="s">
        <v>17</v>
      </c>
      <c r="G8" s="11" t="s">
        <v>18</v>
      </c>
    </row>
    <row r="9" spans="1:7" x14ac:dyDescent="0.3">
      <c r="A9" s="12" t="s">
        <v>19</v>
      </c>
      <c r="B9" s="13" t="s">
        <v>20</v>
      </c>
      <c r="C9" s="13" t="s">
        <v>21</v>
      </c>
      <c r="D9" s="13" t="s">
        <v>22</v>
      </c>
      <c r="E9" s="13" t="s">
        <v>23</v>
      </c>
      <c r="F9" s="13" t="s">
        <v>24</v>
      </c>
      <c r="G9" s="13" t="s">
        <v>25</v>
      </c>
    </row>
    <row r="10" spans="1:7" x14ac:dyDescent="0.3">
      <c r="A10" s="13"/>
      <c r="B10" s="13" t="s">
        <v>26</v>
      </c>
      <c r="C10" s="13" t="s">
        <v>27</v>
      </c>
      <c r="D10" s="13" t="s">
        <v>28</v>
      </c>
      <c r="E10" s="13" t="s">
        <v>23</v>
      </c>
      <c r="F10" s="13" t="s">
        <v>29</v>
      </c>
      <c r="G10" s="13" t="s">
        <v>25</v>
      </c>
    </row>
    <row r="11" spans="1:7" x14ac:dyDescent="0.3">
      <c r="A11" s="13"/>
      <c r="B11" s="13" t="s">
        <v>30</v>
      </c>
      <c r="C11" s="13" t="s">
        <v>31</v>
      </c>
      <c r="D11" s="13" t="s">
        <v>32</v>
      </c>
      <c r="E11" s="13" t="s">
        <v>33</v>
      </c>
      <c r="F11" s="13" t="s">
        <v>29</v>
      </c>
      <c r="G11" s="13" t="s">
        <v>25</v>
      </c>
    </row>
    <row r="12" spans="1:7" x14ac:dyDescent="0.3">
      <c r="A12" s="13"/>
      <c r="B12" s="13" t="s">
        <v>34</v>
      </c>
      <c r="C12" s="13" t="s">
        <v>35</v>
      </c>
      <c r="D12" s="13" t="s">
        <v>36</v>
      </c>
      <c r="E12" s="13" t="s">
        <v>37</v>
      </c>
      <c r="F12" s="13" t="s">
        <v>38</v>
      </c>
      <c r="G12" s="13" t="s">
        <v>25</v>
      </c>
    </row>
    <row r="13" spans="1:7" ht="26.4" x14ac:dyDescent="0.3">
      <c r="A13" s="14" t="s">
        <v>39</v>
      </c>
      <c r="B13" s="15" t="s">
        <v>40</v>
      </c>
      <c r="C13" s="15" t="s">
        <v>41</v>
      </c>
      <c r="D13" s="15" t="s">
        <v>42</v>
      </c>
      <c r="E13" s="15" t="s">
        <v>43</v>
      </c>
      <c r="F13" s="15" t="s">
        <v>24</v>
      </c>
      <c r="G13" s="15" t="s">
        <v>25</v>
      </c>
    </row>
    <row r="14" spans="1:7" x14ac:dyDescent="0.3">
      <c r="A14" s="15"/>
      <c r="B14" s="15" t="s">
        <v>44</v>
      </c>
      <c r="C14" s="15" t="s">
        <v>45</v>
      </c>
      <c r="D14" s="15" t="s">
        <v>46</v>
      </c>
      <c r="E14" s="15" t="s">
        <v>43</v>
      </c>
      <c r="F14" s="15" t="s">
        <v>47</v>
      </c>
      <c r="G14" s="15" t="s">
        <v>25</v>
      </c>
    </row>
    <row r="15" spans="1:7" x14ac:dyDescent="0.3">
      <c r="A15" s="15"/>
      <c r="B15" s="15" t="s">
        <v>48</v>
      </c>
      <c r="C15" s="15" t="s">
        <v>49</v>
      </c>
      <c r="D15" s="15" t="s">
        <v>50</v>
      </c>
      <c r="E15" s="15" t="s">
        <v>43</v>
      </c>
      <c r="F15" s="15" t="s">
        <v>24</v>
      </c>
      <c r="G15" s="15" t="s">
        <v>25</v>
      </c>
    </row>
    <row r="16" spans="1:7" x14ac:dyDescent="0.3">
      <c r="A16" s="15"/>
      <c r="B16" s="15" t="s">
        <v>51</v>
      </c>
      <c r="C16" s="15" t="s">
        <v>52</v>
      </c>
      <c r="D16" s="15" t="s">
        <v>53</v>
      </c>
      <c r="E16" s="15" t="s">
        <v>43</v>
      </c>
      <c r="F16" s="15" t="s">
        <v>54</v>
      </c>
      <c r="G16" s="15" t="s">
        <v>25</v>
      </c>
    </row>
    <row r="17" spans="1:7" x14ac:dyDescent="0.3">
      <c r="A17" s="16" t="s">
        <v>55</v>
      </c>
      <c r="B17" s="17" t="s">
        <v>56</v>
      </c>
      <c r="C17" s="17" t="s">
        <v>57</v>
      </c>
      <c r="D17" s="17" t="s">
        <v>58</v>
      </c>
      <c r="E17" s="17" t="s">
        <v>59</v>
      </c>
      <c r="F17" s="17" t="s">
        <v>60</v>
      </c>
      <c r="G17" s="17" t="s">
        <v>25</v>
      </c>
    </row>
    <row r="18" spans="1:7" x14ac:dyDescent="0.3">
      <c r="A18" s="17"/>
      <c r="B18" s="17" t="s">
        <v>61</v>
      </c>
      <c r="C18" s="17" t="s">
        <v>62</v>
      </c>
      <c r="D18" s="17" t="s">
        <v>63</v>
      </c>
      <c r="E18" s="17" t="s">
        <v>59</v>
      </c>
      <c r="F18" s="17" t="s">
        <v>64</v>
      </c>
      <c r="G18" s="17" t="s">
        <v>25</v>
      </c>
    </row>
    <row r="19" spans="1:7" x14ac:dyDescent="0.3">
      <c r="A19" s="17"/>
      <c r="B19" s="17" t="s">
        <v>65</v>
      </c>
      <c r="C19" s="17" t="s">
        <v>66</v>
      </c>
      <c r="D19" s="17" t="s">
        <v>67</v>
      </c>
      <c r="E19" s="17" t="s">
        <v>59</v>
      </c>
      <c r="F19" s="17" t="s">
        <v>68</v>
      </c>
      <c r="G19" s="17" t="s">
        <v>25</v>
      </c>
    </row>
    <row r="20" spans="1:7" x14ac:dyDescent="0.3">
      <c r="A20" s="17"/>
      <c r="B20" s="17" t="s">
        <v>69</v>
      </c>
      <c r="C20" s="17" t="s">
        <v>70</v>
      </c>
      <c r="D20" s="17" t="s">
        <v>71</v>
      </c>
      <c r="E20" s="17" t="s">
        <v>59</v>
      </c>
      <c r="F20" s="17" t="s">
        <v>72</v>
      </c>
      <c r="G20" s="17" t="s">
        <v>25</v>
      </c>
    </row>
    <row r="21" spans="1:7" x14ac:dyDescent="0.3">
      <c r="A21" s="18" t="s">
        <v>73</v>
      </c>
      <c r="B21" s="19" t="s">
        <v>74</v>
      </c>
      <c r="C21" s="19" t="s">
        <v>75</v>
      </c>
      <c r="D21" s="19" t="s">
        <v>76</v>
      </c>
      <c r="E21" s="19" t="s">
        <v>23</v>
      </c>
      <c r="F21" s="19" t="s">
        <v>77</v>
      </c>
      <c r="G21" s="19" t="s">
        <v>25</v>
      </c>
    </row>
    <row r="22" spans="1:7" x14ac:dyDescent="0.3">
      <c r="A22" s="19"/>
      <c r="B22" s="19" t="s">
        <v>78</v>
      </c>
      <c r="C22" s="19" t="s">
        <v>79</v>
      </c>
      <c r="D22" s="19" t="s">
        <v>80</v>
      </c>
      <c r="E22" s="19" t="s">
        <v>81</v>
      </c>
      <c r="F22" s="19" t="s">
        <v>82</v>
      </c>
      <c r="G22" s="19" t="s">
        <v>25</v>
      </c>
    </row>
    <row r="23" spans="1:7" x14ac:dyDescent="0.3">
      <c r="A23" s="19"/>
      <c r="B23" s="19" t="s">
        <v>83</v>
      </c>
      <c r="C23" s="19" t="s">
        <v>84</v>
      </c>
      <c r="D23" s="19" t="s">
        <v>85</v>
      </c>
      <c r="E23" s="19" t="s">
        <v>59</v>
      </c>
      <c r="F23" s="19" t="s">
        <v>86</v>
      </c>
      <c r="G23" s="19" t="s">
        <v>25</v>
      </c>
    </row>
    <row r="24" spans="1:7" x14ac:dyDescent="0.3">
      <c r="A24" s="19"/>
      <c r="B24" s="19" t="s">
        <v>87</v>
      </c>
      <c r="C24" s="19" t="s">
        <v>88</v>
      </c>
      <c r="D24" s="19" t="s">
        <v>89</v>
      </c>
      <c r="E24" s="19" t="s">
        <v>23</v>
      </c>
      <c r="F24" s="19" t="s">
        <v>90</v>
      </c>
      <c r="G24" s="19" t="s">
        <v>25</v>
      </c>
    </row>
    <row r="25" spans="1:7" x14ac:dyDescent="0.3">
      <c r="A25" s="20" t="s">
        <v>91</v>
      </c>
      <c r="B25" s="21" t="s">
        <v>92</v>
      </c>
      <c r="C25" s="21" t="s">
        <v>93</v>
      </c>
      <c r="D25" s="21" t="s">
        <v>94</v>
      </c>
      <c r="E25" s="21" t="s">
        <v>33</v>
      </c>
      <c r="F25" s="21" t="s">
        <v>95</v>
      </c>
      <c r="G25" s="21" t="s">
        <v>25</v>
      </c>
    </row>
    <row r="26" spans="1:7" x14ac:dyDescent="0.3">
      <c r="A26" s="21"/>
      <c r="B26" s="21" t="s">
        <v>96</v>
      </c>
      <c r="C26" s="21" t="s">
        <v>97</v>
      </c>
      <c r="D26" s="21" t="s">
        <v>98</v>
      </c>
      <c r="E26" s="21" t="s">
        <v>59</v>
      </c>
      <c r="F26" s="21" t="s">
        <v>99</v>
      </c>
      <c r="G26" s="21" t="s">
        <v>25</v>
      </c>
    </row>
    <row r="27" spans="1:7" x14ac:dyDescent="0.3">
      <c r="A27" s="21"/>
      <c r="B27" s="21" t="s">
        <v>100</v>
      </c>
      <c r="C27" s="21" t="s">
        <v>101</v>
      </c>
      <c r="D27" s="21" t="s">
        <v>102</v>
      </c>
      <c r="E27" s="21" t="s">
        <v>23</v>
      </c>
      <c r="F27" s="21" t="s">
        <v>103</v>
      </c>
      <c r="G27" s="21" t="s">
        <v>25</v>
      </c>
    </row>
    <row r="28" spans="1:7" x14ac:dyDescent="0.3">
      <c r="A28" s="21"/>
      <c r="B28" s="21" t="s">
        <v>104</v>
      </c>
      <c r="C28" s="21" t="s">
        <v>105</v>
      </c>
      <c r="D28" s="21" t="s">
        <v>106</v>
      </c>
      <c r="E28" s="21" t="s">
        <v>59</v>
      </c>
      <c r="F28" s="21" t="s">
        <v>107</v>
      </c>
      <c r="G28" s="21" t="s">
        <v>25</v>
      </c>
    </row>
    <row r="29" spans="1:7" x14ac:dyDescent="0.3">
      <c r="A29" s="22" t="s">
        <v>108</v>
      </c>
      <c r="B29" s="23" t="s">
        <v>109</v>
      </c>
      <c r="C29" s="23" t="s">
        <v>110</v>
      </c>
      <c r="D29" s="23" t="s">
        <v>111</v>
      </c>
      <c r="E29" s="23" t="s">
        <v>23</v>
      </c>
      <c r="F29" s="23" t="s">
        <v>112</v>
      </c>
      <c r="G29" s="23" t="s">
        <v>25</v>
      </c>
    </row>
    <row r="30" spans="1:7" x14ac:dyDescent="0.3">
      <c r="A30" s="23"/>
      <c r="B30" s="23" t="s">
        <v>113</v>
      </c>
      <c r="C30" s="23" t="s">
        <v>114</v>
      </c>
      <c r="D30" s="23" t="s">
        <v>115</v>
      </c>
      <c r="E30" s="23" t="s">
        <v>23</v>
      </c>
      <c r="F30" s="23" t="s">
        <v>116</v>
      </c>
      <c r="G30" s="23" t="s">
        <v>25</v>
      </c>
    </row>
    <row r="31" spans="1:7" x14ac:dyDescent="0.3">
      <c r="A31" s="23"/>
      <c r="B31" s="23" t="s">
        <v>117</v>
      </c>
      <c r="C31" s="23" t="s">
        <v>118</v>
      </c>
      <c r="D31" s="23" t="s">
        <v>119</v>
      </c>
      <c r="E31" s="23" t="s">
        <v>59</v>
      </c>
      <c r="F31" s="23" t="s">
        <v>120</v>
      </c>
      <c r="G31" s="23" t="s">
        <v>25</v>
      </c>
    </row>
  </sheetData>
  <mergeCells count="2">
    <mergeCell ref="A1:G1"/>
    <mergeCell ref="A7:G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F28"/>
  <sheetViews>
    <sheetView zoomScaleNormal="100" workbookViewId="0"/>
  </sheetViews>
  <sheetFormatPr defaultColWidth="8.6640625" defaultRowHeight="14.4" x14ac:dyDescent="0.3"/>
  <cols>
    <col min="1" max="1" width="6" customWidth="1"/>
    <col min="2" max="2" width="28" customWidth="1"/>
    <col min="3" max="3" width="55" customWidth="1"/>
    <col min="4" max="4" width="30" customWidth="1"/>
    <col min="5" max="5" width="10" customWidth="1"/>
    <col min="6" max="6" width="32" customWidth="1"/>
  </cols>
  <sheetData>
    <row r="1" spans="1:6" ht="39.75" customHeight="1" x14ac:dyDescent="0.3">
      <c r="A1" s="6" t="s">
        <v>121</v>
      </c>
      <c r="B1" s="6"/>
      <c r="C1" s="6"/>
      <c r="D1" s="6"/>
      <c r="E1" s="6"/>
      <c r="F1" s="6"/>
    </row>
    <row r="3" spans="1:6" x14ac:dyDescent="0.3">
      <c r="A3" s="11" t="s">
        <v>122</v>
      </c>
      <c r="B3" s="11" t="s">
        <v>123</v>
      </c>
      <c r="C3" s="11" t="s">
        <v>124</v>
      </c>
      <c r="D3" s="11" t="s">
        <v>125</v>
      </c>
      <c r="E3" s="11" t="s">
        <v>18</v>
      </c>
      <c r="F3" s="11" t="s">
        <v>126</v>
      </c>
    </row>
    <row r="4" spans="1:6" ht="27.75" customHeight="1" x14ac:dyDescent="0.3">
      <c r="A4" s="5" t="s">
        <v>127</v>
      </c>
      <c r="B4" s="5"/>
      <c r="C4" s="5"/>
      <c r="D4" s="5"/>
      <c r="E4" s="5"/>
      <c r="F4" s="5"/>
    </row>
    <row r="5" spans="1:6" ht="31.5" customHeight="1" x14ac:dyDescent="0.3">
      <c r="A5" s="24" t="s">
        <v>128</v>
      </c>
      <c r="B5" s="25" t="s">
        <v>129</v>
      </c>
      <c r="C5" s="25" t="s">
        <v>130</v>
      </c>
      <c r="D5" s="25" t="s">
        <v>131</v>
      </c>
      <c r="E5" s="25" t="s">
        <v>132</v>
      </c>
      <c r="F5" s="26" t="s">
        <v>133</v>
      </c>
    </row>
    <row r="6" spans="1:6" ht="31.5" customHeight="1" x14ac:dyDescent="0.3">
      <c r="A6" s="24" t="s">
        <v>134</v>
      </c>
      <c r="B6" s="25" t="s">
        <v>135</v>
      </c>
      <c r="C6" s="25" t="s">
        <v>136</v>
      </c>
      <c r="D6" s="25" t="s">
        <v>137</v>
      </c>
      <c r="E6" s="25" t="s">
        <v>132</v>
      </c>
      <c r="F6" s="25"/>
    </row>
    <row r="7" spans="1:6" ht="31.5" customHeight="1" x14ac:dyDescent="0.3">
      <c r="A7" s="24" t="s">
        <v>138</v>
      </c>
      <c r="B7" s="25" t="s">
        <v>139</v>
      </c>
      <c r="C7" s="25" t="s">
        <v>140</v>
      </c>
      <c r="D7" s="25" t="s">
        <v>141</v>
      </c>
      <c r="E7" s="25" t="s">
        <v>132</v>
      </c>
      <c r="F7" s="25"/>
    </row>
    <row r="8" spans="1:6" ht="31.5" customHeight="1" x14ac:dyDescent="0.3">
      <c r="A8" s="24" t="s">
        <v>142</v>
      </c>
      <c r="B8" s="25" t="s">
        <v>143</v>
      </c>
      <c r="C8" s="25" t="s">
        <v>144</v>
      </c>
      <c r="D8" s="25" t="s">
        <v>145</v>
      </c>
      <c r="E8" s="25" t="s">
        <v>132</v>
      </c>
      <c r="F8" s="26" t="s">
        <v>146</v>
      </c>
    </row>
    <row r="9" spans="1:6" ht="27.75" customHeight="1" x14ac:dyDescent="0.3">
      <c r="A9" s="5" t="s">
        <v>147</v>
      </c>
      <c r="B9" s="5"/>
      <c r="C9" s="5"/>
      <c r="D9" s="5"/>
      <c r="E9" s="5"/>
      <c r="F9" s="5"/>
    </row>
    <row r="10" spans="1:6" ht="31.5" customHeight="1" x14ac:dyDescent="0.3">
      <c r="A10" s="24" t="s">
        <v>148</v>
      </c>
      <c r="B10" s="25" t="s">
        <v>149</v>
      </c>
      <c r="C10" s="25" t="s">
        <v>150</v>
      </c>
      <c r="D10" s="25" t="s">
        <v>151</v>
      </c>
      <c r="E10" s="25" t="s">
        <v>132</v>
      </c>
      <c r="F10" s="25"/>
    </row>
    <row r="11" spans="1:6" ht="31.5" customHeight="1" x14ac:dyDescent="0.3">
      <c r="A11" s="24" t="s">
        <v>152</v>
      </c>
      <c r="B11" s="25" t="s">
        <v>153</v>
      </c>
      <c r="C11" s="25" t="s">
        <v>154</v>
      </c>
      <c r="D11" s="25" t="s">
        <v>155</v>
      </c>
      <c r="E11" s="25" t="s">
        <v>132</v>
      </c>
      <c r="F11" s="26" t="s">
        <v>156</v>
      </c>
    </row>
    <row r="12" spans="1:6" ht="31.5" customHeight="1" x14ac:dyDescent="0.3">
      <c r="A12" s="24" t="s">
        <v>157</v>
      </c>
      <c r="B12" s="25" t="s">
        <v>158</v>
      </c>
      <c r="C12" s="25" t="s">
        <v>159</v>
      </c>
      <c r="D12" s="25" t="s">
        <v>160</v>
      </c>
      <c r="E12" s="25" t="s">
        <v>132</v>
      </c>
      <c r="F12" s="25"/>
    </row>
    <row r="13" spans="1:6" ht="31.5" customHeight="1" x14ac:dyDescent="0.3">
      <c r="A13" s="24" t="s">
        <v>161</v>
      </c>
      <c r="B13" s="25" t="s">
        <v>162</v>
      </c>
      <c r="C13" s="25" t="s">
        <v>163</v>
      </c>
      <c r="D13" s="25" t="s">
        <v>164</v>
      </c>
      <c r="E13" s="25" t="s">
        <v>132</v>
      </c>
      <c r="F13" s="25"/>
    </row>
    <row r="14" spans="1:6" ht="27.75" customHeight="1" x14ac:dyDescent="0.3">
      <c r="A14" s="5" t="s">
        <v>165</v>
      </c>
      <c r="B14" s="5"/>
      <c r="C14" s="5"/>
      <c r="D14" s="5"/>
      <c r="E14" s="5"/>
      <c r="F14" s="5"/>
    </row>
    <row r="15" spans="1:6" ht="31.5" customHeight="1" x14ac:dyDescent="0.3">
      <c r="A15" s="24" t="s">
        <v>166</v>
      </c>
      <c r="B15" s="25" t="s">
        <v>167</v>
      </c>
      <c r="C15" s="25" t="s">
        <v>168</v>
      </c>
      <c r="D15" s="25" t="s">
        <v>169</v>
      </c>
      <c r="E15" s="25" t="s">
        <v>132</v>
      </c>
      <c r="F15" s="26" t="s">
        <v>170</v>
      </c>
    </row>
    <row r="16" spans="1:6" ht="31.5" customHeight="1" x14ac:dyDescent="0.3">
      <c r="A16" s="24" t="s">
        <v>171</v>
      </c>
      <c r="B16" s="25" t="s">
        <v>172</v>
      </c>
      <c r="C16" s="25" t="s">
        <v>173</v>
      </c>
      <c r="D16" s="25" t="s">
        <v>174</v>
      </c>
      <c r="E16" s="25" t="s">
        <v>132</v>
      </c>
      <c r="F16" s="26" t="s">
        <v>175</v>
      </c>
    </row>
    <row r="17" spans="1:6" ht="31.5" customHeight="1" x14ac:dyDescent="0.3">
      <c r="A17" s="24" t="s">
        <v>176</v>
      </c>
      <c r="B17" s="25" t="s">
        <v>177</v>
      </c>
      <c r="C17" s="25" t="s">
        <v>178</v>
      </c>
      <c r="D17" s="25" t="s">
        <v>179</v>
      </c>
      <c r="E17" s="25" t="s">
        <v>132</v>
      </c>
      <c r="F17" s="26" t="s">
        <v>180</v>
      </c>
    </row>
    <row r="18" spans="1:6" ht="27.75" customHeight="1" x14ac:dyDescent="0.3">
      <c r="A18" s="5" t="s">
        <v>181</v>
      </c>
      <c r="B18" s="5"/>
      <c r="C18" s="5"/>
      <c r="D18" s="5"/>
      <c r="E18" s="5"/>
      <c r="F18" s="5"/>
    </row>
    <row r="19" spans="1:6" ht="31.5" customHeight="1" x14ac:dyDescent="0.3">
      <c r="A19" s="24" t="s">
        <v>182</v>
      </c>
      <c r="B19" s="25" t="s">
        <v>183</v>
      </c>
      <c r="C19" s="25" t="s">
        <v>184</v>
      </c>
      <c r="D19" s="25" t="s">
        <v>185</v>
      </c>
      <c r="E19" s="25" t="s">
        <v>132</v>
      </c>
      <c r="F19" s="26" t="s">
        <v>186</v>
      </c>
    </row>
    <row r="20" spans="1:6" ht="31.5" customHeight="1" x14ac:dyDescent="0.3">
      <c r="A20" s="24" t="s">
        <v>187</v>
      </c>
      <c r="B20" s="25" t="s">
        <v>188</v>
      </c>
      <c r="C20" s="25" t="s">
        <v>189</v>
      </c>
      <c r="D20" s="25" t="s">
        <v>190</v>
      </c>
      <c r="E20" s="25" t="s">
        <v>132</v>
      </c>
      <c r="F20" s="26" t="s">
        <v>191</v>
      </c>
    </row>
    <row r="21" spans="1:6" ht="31.5" customHeight="1" x14ac:dyDescent="0.3">
      <c r="A21" s="24" t="s">
        <v>192</v>
      </c>
      <c r="B21" s="25" t="s">
        <v>193</v>
      </c>
      <c r="C21" s="25" t="s">
        <v>194</v>
      </c>
      <c r="D21" s="25" t="s">
        <v>195</v>
      </c>
      <c r="E21" s="25" t="s">
        <v>132</v>
      </c>
      <c r="F21" s="26" t="s">
        <v>196</v>
      </c>
    </row>
    <row r="22" spans="1:6" ht="31.5" customHeight="1" x14ac:dyDescent="0.3">
      <c r="A22" s="24" t="s">
        <v>197</v>
      </c>
      <c r="B22" s="25" t="s">
        <v>198</v>
      </c>
      <c r="C22" s="25" t="s">
        <v>199</v>
      </c>
      <c r="D22" s="25" t="s">
        <v>200</v>
      </c>
      <c r="E22" s="25" t="s">
        <v>132</v>
      </c>
      <c r="F22" s="26" t="s">
        <v>201</v>
      </c>
    </row>
    <row r="23" spans="1:6" ht="27.75" customHeight="1" x14ac:dyDescent="0.3">
      <c r="A23" s="5" t="s">
        <v>202</v>
      </c>
      <c r="B23" s="5"/>
      <c r="C23" s="5"/>
      <c r="D23" s="5"/>
      <c r="E23" s="5"/>
      <c r="F23" s="5"/>
    </row>
    <row r="24" spans="1:6" ht="31.5" customHeight="1" x14ac:dyDescent="0.3">
      <c r="A24" s="24" t="s">
        <v>203</v>
      </c>
      <c r="B24" s="25" t="s">
        <v>204</v>
      </c>
      <c r="C24" s="25" t="s">
        <v>205</v>
      </c>
      <c r="D24" s="25" t="s">
        <v>206</v>
      </c>
      <c r="E24" s="25" t="s">
        <v>132</v>
      </c>
      <c r="F24" s="25"/>
    </row>
    <row r="25" spans="1:6" ht="31.5" customHeight="1" x14ac:dyDescent="0.3">
      <c r="A25" s="24" t="s">
        <v>207</v>
      </c>
      <c r="B25" s="25" t="s">
        <v>208</v>
      </c>
      <c r="C25" s="25" t="s">
        <v>209</v>
      </c>
      <c r="D25" s="25" t="s">
        <v>210</v>
      </c>
      <c r="E25" s="25" t="s">
        <v>132</v>
      </c>
      <c r="F25" s="25"/>
    </row>
    <row r="26" spans="1:6" ht="31.5" customHeight="1" x14ac:dyDescent="0.3">
      <c r="A26" s="24" t="s">
        <v>211</v>
      </c>
      <c r="B26" s="25" t="s">
        <v>212</v>
      </c>
      <c r="C26" s="25" t="s">
        <v>213</v>
      </c>
      <c r="D26" s="25" t="s">
        <v>214</v>
      </c>
      <c r="E26" s="25" t="s">
        <v>132</v>
      </c>
      <c r="F26" s="25"/>
    </row>
    <row r="27" spans="1:6" ht="31.5" customHeight="1" x14ac:dyDescent="0.3">
      <c r="A27" s="24" t="s">
        <v>215</v>
      </c>
      <c r="B27" s="25" t="s">
        <v>216</v>
      </c>
      <c r="C27" s="25" t="s">
        <v>217</v>
      </c>
      <c r="D27" s="25" t="s">
        <v>218</v>
      </c>
      <c r="E27" s="25" t="s">
        <v>132</v>
      </c>
      <c r="F27" s="25"/>
    </row>
    <row r="28" spans="1:6" ht="31.5" customHeight="1" x14ac:dyDescent="0.3">
      <c r="A28" s="24" t="s">
        <v>219</v>
      </c>
      <c r="B28" s="25" t="s">
        <v>220</v>
      </c>
      <c r="C28" s="25" t="s">
        <v>221</v>
      </c>
      <c r="D28" s="25" t="s">
        <v>222</v>
      </c>
      <c r="E28" s="25" t="s">
        <v>132</v>
      </c>
      <c r="F28" s="25"/>
    </row>
  </sheetData>
  <mergeCells count="6">
    <mergeCell ref="A23:F23"/>
    <mergeCell ref="A1:F1"/>
    <mergeCell ref="A4:F4"/>
    <mergeCell ref="A9:F9"/>
    <mergeCell ref="A14:F14"/>
    <mergeCell ref="A18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I25"/>
  <sheetViews>
    <sheetView zoomScaleNormal="100" workbookViewId="0"/>
  </sheetViews>
  <sheetFormatPr defaultColWidth="8.6640625" defaultRowHeight="14.4" x14ac:dyDescent="0.3"/>
  <cols>
    <col min="1" max="1" width="8" customWidth="1"/>
    <col min="2" max="2" width="14" customWidth="1"/>
    <col min="3" max="3" width="38" customWidth="1"/>
    <col min="4" max="4" width="16" customWidth="1"/>
    <col min="5" max="7" width="14" customWidth="1"/>
    <col min="8" max="8" width="16" customWidth="1"/>
    <col min="9" max="9" width="24" customWidth="1"/>
  </cols>
  <sheetData>
    <row r="1" spans="1:9" ht="39.75" customHeight="1" x14ac:dyDescent="0.3">
      <c r="A1" s="4" t="s">
        <v>223</v>
      </c>
      <c r="B1" s="4"/>
      <c r="C1" s="4"/>
      <c r="D1" s="4"/>
      <c r="E1" s="4"/>
      <c r="F1" s="4"/>
      <c r="G1" s="4"/>
      <c r="H1" s="4"/>
      <c r="I1" s="4"/>
    </row>
    <row r="3" spans="1:9" x14ac:dyDescent="0.3">
      <c r="A3" s="27" t="s">
        <v>224</v>
      </c>
      <c r="B3" s="27" t="s">
        <v>12</v>
      </c>
      <c r="C3" s="27" t="s">
        <v>225</v>
      </c>
      <c r="D3" s="27" t="s">
        <v>226</v>
      </c>
      <c r="E3" s="27" t="s">
        <v>227</v>
      </c>
      <c r="F3" s="27" t="s">
        <v>228</v>
      </c>
      <c r="G3" s="27" t="s">
        <v>229</v>
      </c>
      <c r="H3" s="27" t="s">
        <v>18</v>
      </c>
      <c r="I3" s="27" t="s">
        <v>125</v>
      </c>
    </row>
    <row r="4" spans="1:9" x14ac:dyDescent="0.3">
      <c r="A4" s="28" t="s">
        <v>230</v>
      </c>
      <c r="B4" s="28" t="s">
        <v>7</v>
      </c>
      <c r="C4" s="29" t="s">
        <v>231</v>
      </c>
      <c r="D4" s="29"/>
      <c r="E4" s="28" t="s">
        <v>232</v>
      </c>
      <c r="F4" s="29"/>
      <c r="G4" s="29"/>
      <c r="H4" s="28" t="s">
        <v>25</v>
      </c>
      <c r="I4" s="29"/>
    </row>
    <row r="5" spans="1:9" x14ac:dyDescent="0.3">
      <c r="A5" s="24" t="s">
        <v>233</v>
      </c>
      <c r="B5" s="24" t="s">
        <v>7</v>
      </c>
      <c r="C5" s="25" t="s">
        <v>234</v>
      </c>
      <c r="D5" s="25"/>
      <c r="E5" s="24" t="s">
        <v>232</v>
      </c>
      <c r="F5" s="25"/>
      <c r="G5" s="25"/>
      <c r="H5" s="24" t="s">
        <v>25</v>
      </c>
      <c r="I5" s="25"/>
    </row>
    <row r="6" spans="1:9" x14ac:dyDescent="0.3">
      <c r="A6" s="28" t="s">
        <v>235</v>
      </c>
      <c r="B6" s="28" t="s">
        <v>7</v>
      </c>
      <c r="C6" s="29" t="s">
        <v>236</v>
      </c>
      <c r="D6" s="29"/>
      <c r="E6" s="28" t="s">
        <v>237</v>
      </c>
      <c r="F6" s="29"/>
      <c r="G6" s="29"/>
      <c r="H6" s="28" t="s">
        <v>25</v>
      </c>
      <c r="I6" s="29"/>
    </row>
    <row r="7" spans="1:9" x14ac:dyDescent="0.3">
      <c r="A7" s="24" t="s">
        <v>238</v>
      </c>
      <c r="B7" s="24" t="s">
        <v>239</v>
      </c>
      <c r="C7" s="25" t="s">
        <v>240</v>
      </c>
      <c r="D7" s="25"/>
      <c r="E7" s="24" t="s">
        <v>232</v>
      </c>
      <c r="F7" s="25"/>
      <c r="G7" s="25"/>
      <c r="H7" s="24" t="s">
        <v>25</v>
      </c>
      <c r="I7" s="25"/>
    </row>
    <row r="8" spans="1:9" x14ac:dyDescent="0.3">
      <c r="A8" s="28" t="s">
        <v>241</v>
      </c>
      <c r="B8" s="28" t="s">
        <v>239</v>
      </c>
      <c r="C8" s="29" t="s">
        <v>242</v>
      </c>
      <c r="D8" s="29"/>
      <c r="E8" s="28" t="s">
        <v>232</v>
      </c>
      <c r="F8" s="29"/>
      <c r="G8" s="29"/>
      <c r="H8" s="28" t="s">
        <v>25</v>
      </c>
      <c r="I8" s="29"/>
    </row>
    <row r="9" spans="1:9" x14ac:dyDescent="0.3">
      <c r="A9" s="24" t="s">
        <v>243</v>
      </c>
      <c r="B9" s="24" t="s">
        <v>239</v>
      </c>
      <c r="C9" s="25" t="s">
        <v>244</v>
      </c>
      <c r="D9" s="25"/>
      <c r="E9" s="24" t="s">
        <v>232</v>
      </c>
      <c r="F9" s="25"/>
      <c r="G9" s="25"/>
      <c r="H9" s="24" t="s">
        <v>25</v>
      </c>
      <c r="I9" s="25"/>
    </row>
    <row r="10" spans="1:9" x14ac:dyDescent="0.3">
      <c r="A10" s="28" t="s">
        <v>245</v>
      </c>
      <c r="B10" s="28" t="s">
        <v>239</v>
      </c>
      <c r="C10" s="29" t="s">
        <v>246</v>
      </c>
      <c r="D10" s="29"/>
      <c r="E10" s="28" t="s">
        <v>237</v>
      </c>
      <c r="F10" s="29"/>
      <c r="G10" s="29"/>
      <c r="H10" s="28" t="s">
        <v>25</v>
      </c>
      <c r="I10" s="29"/>
    </row>
    <row r="11" spans="1:9" x14ac:dyDescent="0.3">
      <c r="A11" s="24" t="s">
        <v>247</v>
      </c>
      <c r="B11" s="24" t="s">
        <v>248</v>
      </c>
      <c r="C11" s="25" t="s">
        <v>249</v>
      </c>
      <c r="D11" s="25"/>
      <c r="E11" s="24" t="s">
        <v>232</v>
      </c>
      <c r="F11" s="25"/>
      <c r="G11" s="25"/>
      <c r="H11" s="24" t="s">
        <v>25</v>
      </c>
      <c r="I11" s="25"/>
    </row>
    <row r="12" spans="1:9" x14ac:dyDescent="0.3">
      <c r="A12" s="28" t="s">
        <v>250</v>
      </c>
      <c r="B12" s="28" t="s">
        <v>248</v>
      </c>
      <c r="C12" s="29" t="s">
        <v>251</v>
      </c>
      <c r="D12" s="29"/>
      <c r="E12" s="28" t="s">
        <v>232</v>
      </c>
      <c r="F12" s="29"/>
      <c r="G12" s="29"/>
      <c r="H12" s="28" t="s">
        <v>25</v>
      </c>
      <c r="I12" s="29"/>
    </row>
    <row r="13" spans="1:9" x14ac:dyDescent="0.3">
      <c r="A13" s="24" t="s">
        <v>252</v>
      </c>
      <c r="B13" s="24" t="s">
        <v>248</v>
      </c>
      <c r="C13" s="25" t="s">
        <v>253</v>
      </c>
      <c r="D13" s="25"/>
      <c r="E13" s="24" t="s">
        <v>232</v>
      </c>
      <c r="F13" s="25"/>
      <c r="G13" s="25"/>
      <c r="H13" s="24" t="s">
        <v>25</v>
      </c>
      <c r="I13" s="25"/>
    </row>
    <row r="14" spans="1:9" x14ac:dyDescent="0.3">
      <c r="A14" s="28" t="s">
        <v>254</v>
      </c>
      <c r="B14" s="28" t="s">
        <v>248</v>
      </c>
      <c r="C14" s="29" t="s">
        <v>255</v>
      </c>
      <c r="D14" s="29"/>
      <c r="E14" s="28" t="s">
        <v>237</v>
      </c>
      <c r="F14" s="29"/>
      <c r="G14" s="29"/>
      <c r="H14" s="28" t="s">
        <v>25</v>
      </c>
      <c r="I14" s="29"/>
    </row>
    <row r="15" spans="1:9" x14ac:dyDescent="0.3">
      <c r="A15" s="24" t="s">
        <v>256</v>
      </c>
      <c r="B15" s="24" t="s">
        <v>257</v>
      </c>
      <c r="C15" s="25" t="s">
        <v>258</v>
      </c>
      <c r="D15" s="25"/>
      <c r="E15" s="24" t="s">
        <v>232</v>
      </c>
      <c r="F15" s="25"/>
      <c r="G15" s="25"/>
      <c r="H15" s="24" t="s">
        <v>25</v>
      </c>
      <c r="I15" s="25"/>
    </row>
    <row r="16" spans="1:9" x14ac:dyDescent="0.3">
      <c r="A16" s="28" t="s">
        <v>259</v>
      </c>
      <c r="B16" s="28" t="s">
        <v>257</v>
      </c>
      <c r="C16" s="29" t="s">
        <v>260</v>
      </c>
      <c r="D16" s="29"/>
      <c r="E16" s="28" t="s">
        <v>232</v>
      </c>
      <c r="F16" s="29"/>
      <c r="G16" s="29"/>
      <c r="H16" s="28" t="s">
        <v>25</v>
      </c>
      <c r="I16" s="29"/>
    </row>
    <row r="17" spans="1:9" x14ac:dyDescent="0.3">
      <c r="A17" s="24" t="s">
        <v>261</v>
      </c>
      <c r="B17" s="24" t="s">
        <v>257</v>
      </c>
      <c r="C17" s="25" t="s">
        <v>262</v>
      </c>
      <c r="D17" s="25"/>
      <c r="E17" s="24" t="s">
        <v>237</v>
      </c>
      <c r="F17" s="25"/>
      <c r="G17" s="25"/>
      <c r="H17" s="24" t="s">
        <v>25</v>
      </c>
      <c r="I17" s="25"/>
    </row>
    <row r="18" spans="1:9" x14ac:dyDescent="0.3">
      <c r="A18" s="28" t="s">
        <v>263</v>
      </c>
      <c r="B18" s="28" t="s">
        <v>257</v>
      </c>
      <c r="C18" s="29" t="s">
        <v>264</v>
      </c>
      <c r="D18" s="29"/>
      <c r="E18" s="28" t="s">
        <v>237</v>
      </c>
      <c r="F18" s="29"/>
      <c r="G18" s="29"/>
      <c r="H18" s="28" t="s">
        <v>25</v>
      </c>
      <c r="I18" s="29"/>
    </row>
    <row r="19" spans="1:9" x14ac:dyDescent="0.3">
      <c r="A19" s="24" t="s">
        <v>265</v>
      </c>
      <c r="B19" s="24" t="s">
        <v>266</v>
      </c>
      <c r="C19" s="25" t="s">
        <v>267</v>
      </c>
      <c r="D19" s="25"/>
      <c r="E19" s="24" t="s">
        <v>237</v>
      </c>
      <c r="F19" s="25"/>
      <c r="G19" s="25"/>
      <c r="H19" s="24" t="s">
        <v>25</v>
      </c>
      <c r="I19" s="25"/>
    </row>
    <row r="20" spans="1:9" x14ac:dyDescent="0.3">
      <c r="A20" s="28" t="s">
        <v>268</v>
      </c>
      <c r="B20" s="28" t="s">
        <v>266</v>
      </c>
      <c r="C20" s="29" t="s">
        <v>269</v>
      </c>
      <c r="D20" s="29"/>
      <c r="E20" s="28" t="s">
        <v>232</v>
      </c>
      <c r="F20" s="29"/>
      <c r="G20" s="29"/>
      <c r="H20" s="28" t="s">
        <v>25</v>
      </c>
      <c r="I20" s="29"/>
    </row>
    <row r="21" spans="1:9" x14ac:dyDescent="0.3">
      <c r="A21" s="24" t="s">
        <v>270</v>
      </c>
      <c r="B21" s="24" t="s">
        <v>266</v>
      </c>
      <c r="C21" s="25" t="s">
        <v>271</v>
      </c>
      <c r="D21" s="25"/>
      <c r="E21" s="24" t="s">
        <v>232</v>
      </c>
      <c r="F21" s="25"/>
      <c r="G21" s="25"/>
      <c r="H21" s="24" t="s">
        <v>25</v>
      </c>
      <c r="I21" s="25"/>
    </row>
    <row r="22" spans="1:9" x14ac:dyDescent="0.3">
      <c r="A22" s="28" t="s">
        <v>272</v>
      </c>
      <c r="B22" s="28" t="s">
        <v>266</v>
      </c>
      <c r="C22" s="29" t="s">
        <v>273</v>
      </c>
      <c r="D22" s="29"/>
      <c r="E22" s="28" t="s">
        <v>237</v>
      </c>
      <c r="F22" s="29"/>
      <c r="G22" s="29"/>
      <c r="H22" s="28" t="s">
        <v>25</v>
      </c>
      <c r="I22" s="29"/>
    </row>
    <row r="23" spans="1:9" x14ac:dyDescent="0.3">
      <c r="A23" s="24" t="s">
        <v>274</v>
      </c>
      <c r="B23" s="24" t="s">
        <v>275</v>
      </c>
      <c r="C23" s="25" t="s">
        <v>276</v>
      </c>
      <c r="D23" s="25"/>
      <c r="E23" s="24" t="s">
        <v>277</v>
      </c>
      <c r="F23" s="25"/>
      <c r="G23" s="25"/>
      <c r="H23" s="24" t="s">
        <v>25</v>
      </c>
      <c r="I23" s="25"/>
    </row>
    <row r="25" spans="1:9" x14ac:dyDescent="0.3">
      <c r="A25" s="3" t="s">
        <v>278</v>
      </c>
      <c r="B25" s="3"/>
      <c r="C25" s="3"/>
      <c r="D25" s="3"/>
      <c r="E25" s="3"/>
      <c r="F25" s="3"/>
      <c r="G25" s="3"/>
      <c r="H25" s="3"/>
      <c r="I25" s="3"/>
    </row>
  </sheetData>
  <mergeCells count="2">
    <mergeCell ref="A1:I1"/>
    <mergeCell ref="A25:I2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F10"/>
  <sheetViews>
    <sheetView zoomScaleNormal="100" workbookViewId="0"/>
  </sheetViews>
  <sheetFormatPr defaultColWidth="8.6640625" defaultRowHeight="14.4" x14ac:dyDescent="0.3"/>
  <cols>
    <col min="1" max="1" width="28" customWidth="1"/>
    <col min="2" max="5" width="16" customWidth="1"/>
    <col min="6" max="6" width="20" customWidth="1"/>
  </cols>
  <sheetData>
    <row r="1" spans="1:6" ht="39.75" customHeight="1" x14ac:dyDescent="0.3">
      <c r="A1" s="2" t="s">
        <v>279</v>
      </c>
      <c r="B1" s="2"/>
      <c r="C1" s="2"/>
      <c r="D1" s="2"/>
      <c r="E1" s="2"/>
      <c r="F1" s="2"/>
    </row>
    <row r="3" spans="1:6" x14ac:dyDescent="0.3">
      <c r="A3" s="30" t="s">
        <v>12</v>
      </c>
      <c r="B3" s="30" t="s">
        <v>280</v>
      </c>
      <c r="C3" s="30" t="s">
        <v>281</v>
      </c>
      <c r="D3" s="30" t="s">
        <v>282</v>
      </c>
      <c r="E3" s="30" t="s">
        <v>283</v>
      </c>
      <c r="F3" s="30" t="s">
        <v>18</v>
      </c>
    </row>
    <row r="4" spans="1:6" x14ac:dyDescent="0.3">
      <c r="A4" s="31" t="s">
        <v>284</v>
      </c>
      <c r="B4" s="32">
        <v>4</v>
      </c>
      <c r="C4" s="32">
        <v>0</v>
      </c>
      <c r="D4" s="32">
        <v>0</v>
      </c>
      <c r="E4" s="33">
        <f t="shared" ref="E4:E10" si="0">IF(B4=0,0,C4/B4)</f>
        <v>0</v>
      </c>
      <c r="F4" s="32" t="str">
        <f t="shared" ref="F4:F9" si="1">IF(E4=0,"⬜ Başlanmadı",IF(E4&lt;1,"🔄 Devam Ediyor","✅ Tamamlandı"))</f>
        <v>⬜ Başlanmadı</v>
      </c>
    </row>
    <row r="5" spans="1:6" x14ac:dyDescent="0.3">
      <c r="A5" s="34" t="s">
        <v>285</v>
      </c>
      <c r="B5" s="35">
        <v>4</v>
      </c>
      <c r="C5" s="35">
        <v>0</v>
      </c>
      <c r="D5" s="35">
        <v>0</v>
      </c>
      <c r="E5" s="36">
        <f t="shared" si="0"/>
        <v>0</v>
      </c>
      <c r="F5" s="35" t="str">
        <f t="shared" si="1"/>
        <v>⬜ Başlanmadı</v>
      </c>
    </row>
    <row r="6" spans="1:6" x14ac:dyDescent="0.3">
      <c r="A6" s="31" t="s">
        <v>286</v>
      </c>
      <c r="B6" s="32">
        <v>4</v>
      </c>
      <c r="C6" s="32">
        <v>0</v>
      </c>
      <c r="D6" s="32">
        <v>0</v>
      </c>
      <c r="E6" s="33">
        <f t="shared" si="0"/>
        <v>0</v>
      </c>
      <c r="F6" s="32" t="str">
        <f t="shared" si="1"/>
        <v>⬜ Başlanmadı</v>
      </c>
    </row>
    <row r="7" spans="1:6" x14ac:dyDescent="0.3">
      <c r="A7" s="34" t="s">
        <v>287</v>
      </c>
      <c r="B7" s="35">
        <v>4</v>
      </c>
      <c r="C7" s="35">
        <v>0</v>
      </c>
      <c r="D7" s="35">
        <v>0</v>
      </c>
      <c r="E7" s="36">
        <f t="shared" si="0"/>
        <v>0</v>
      </c>
      <c r="F7" s="35" t="str">
        <f t="shared" si="1"/>
        <v>⬜ Başlanmadı</v>
      </c>
    </row>
    <row r="8" spans="1:6" x14ac:dyDescent="0.3">
      <c r="A8" s="31" t="s">
        <v>288</v>
      </c>
      <c r="B8" s="32">
        <v>4</v>
      </c>
      <c r="C8" s="32">
        <v>0</v>
      </c>
      <c r="D8" s="32">
        <v>0</v>
      </c>
      <c r="E8" s="33">
        <f t="shared" si="0"/>
        <v>0</v>
      </c>
      <c r="F8" s="32" t="str">
        <f t="shared" si="1"/>
        <v>⬜ Başlanmadı</v>
      </c>
    </row>
    <row r="9" spans="1:6" x14ac:dyDescent="0.3">
      <c r="A9" s="34" t="s">
        <v>289</v>
      </c>
      <c r="B9" s="35">
        <v>3</v>
      </c>
      <c r="C9" s="35">
        <v>0</v>
      </c>
      <c r="D9" s="35">
        <v>0</v>
      </c>
      <c r="E9" s="36">
        <f t="shared" si="0"/>
        <v>0</v>
      </c>
      <c r="F9" s="35" t="str">
        <f t="shared" si="1"/>
        <v>⬜ Başlanmadı</v>
      </c>
    </row>
    <row r="10" spans="1:6" x14ac:dyDescent="0.3">
      <c r="A10" s="37" t="s">
        <v>290</v>
      </c>
      <c r="B10" s="37">
        <f>SUM(B4:B9)</f>
        <v>23</v>
      </c>
      <c r="C10" s="37">
        <f>SUM(C4:C9)</f>
        <v>0</v>
      </c>
      <c r="D10" s="37">
        <f>SUM(D4:D9)</f>
        <v>0</v>
      </c>
      <c r="E10" s="38">
        <f t="shared" si="0"/>
        <v>0</v>
      </c>
      <c r="F10" s="37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B68EE"/>
  </sheetPr>
  <dimension ref="A1:C46"/>
  <sheetViews>
    <sheetView zoomScaleNormal="100" workbookViewId="0"/>
  </sheetViews>
  <sheetFormatPr defaultColWidth="8.6640625" defaultRowHeight="14.4" x14ac:dyDescent="0.3"/>
  <cols>
    <col min="1" max="1" width="42" customWidth="1"/>
    <col min="2" max="2" width="40" customWidth="1"/>
  </cols>
  <sheetData>
    <row r="1" spans="1:3" ht="39.75" customHeight="1" x14ac:dyDescent="0.3">
      <c r="A1" s="1" t="s">
        <v>291</v>
      </c>
      <c r="B1" s="1"/>
      <c r="C1" s="1"/>
    </row>
    <row r="3" spans="1:3" x14ac:dyDescent="0.3">
      <c r="A3" s="39" t="s">
        <v>292</v>
      </c>
      <c r="B3" s="39" t="s">
        <v>14</v>
      </c>
    </row>
    <row r="4" spans="1:3" x14ac:dyDescent="0.3">
      <c r="A4" s="40" t="s">
        <v>293</v>
      </c>
      <c r="B4" s="41" t="s">
        <v>294</v>
      </c>
    </row>
    <row r="5" spans="1:3" x14ac:dyDescent="0.3">
      <c r="A5" s="42" t="s">
        <v>295</v>
      </c>
      <c r="B5" s="25" t="s">
        <v>296</v>
      </c>
    </row>
    <row r="6" spans="1:3" x14ac:dyDescent="0.3">
      <c r="A6" s="42" t="s">
        <v>297</v>
      </c>
      <c r="B6" s="25" t="s">
        <v>298</v>
      </c>
    </row>
    <row r="7" spans="1:3" x14ac:dyDescent="0.3">
      <c r="A7" s="42" t="s">
        <v>299</v>
      </c>
      <c r="B7" s="25" t="s">
        <v>300</v>
      </c>
    </row>
    <row r="8" spans="1:3" x14ac:dyDescent="0.3">
      <c r="A8" s="42" t="s">
        <v>301</v>
      </c>
      <c r="B8" s="25" t="s">
        <v>302</v>
      </c>
    </row>
    <row r="9" spans="1:3" x14ac:dyDescent="0.3">
      <c r="A9" s="42" t="s">
        <v>303</v>
      </c>
      <c r="B9" s="25" t="s">
        <v>304</v>
      </c>
    </row>
    <row r="10" spans="1:3" x14ac:dyDescent="0.3">
      <c r="A10" s="40" t="s">
        <v>305</v>
      </c>
      <c r="B10" s="41" t="s">
        <v>306</v>
      </c>
    </row>
    <row r="11" spans="1:3" x14ac:dyDescent="0.3">
      <c r="A11" s="42" t="s">
        <v>307</v>
      </c>
      <c r="B11" s="25" t="s">
        <v>308</v>
      </c>
    </row>
    <row r="12" spans="1:3" x14ac:dyDescent="0.3">
      <c r="A12" s="42" t="s">
        <v>309</v>
      </c>
      <c r="B12" s="25" t="s">
        <v>310</v>
      </c>
    </row>
    <row r="13" spans="1:3" x14ac:dyDescent="0.3">
      <c r="A13" s="40" t="s">
        <v>311</v>
      </c>
      <c r="B13" s="41" t="s">
        <v>312</v>
      </c>
    </row>
    <row r="14" spans="1:3" x14ac:dyDescent="0.3">
      <c r="A14" s="42" t="s">
        <v>313</v>
      </c>
      <c r="B14" s="25" t="s">
        <v>314</v>
      </c>
    </row>
    <row r="15" spans="1:3" x14ac:dyDescent="0.3">
      <c r="A15" s="42" t="s">
        <v>315</v>
      </c>
      <c r="B15" s="25" t="s">
        <v>316</v>
      </c>
    </row>
    <row r="16" spans="1:3" x14ac:dyDescent="0.3">
      <c r="A16" s="42" t="s">
        <v>317</v>
      </c>
      <c r="B16" s="25" t="s">
        <v>318</v>
      </c>
    </row>
    <row r="17" spans="1:2" x14ac:dyDescent="0.3">
      <c r="A17" s="40" t="s">
        <v>319</v>
      </c>
      <c r="B17" s="41" t="s">
        <v>320</v>
      </c>
    </row>
    <row r="18" spans="1:2" x14ac:dyDescent="0.3">
      <c r="A18" s="42" t="s">
        <v>321</v>
      </c>
      <c r="B18" s="25" t="s">
        <v>322</v>
      </c>
    </row>
    <row r="19" spans="1:2" x14ac:dyDescent="0.3">
      <c r="A19" s="42" t="s">
        <v>323</v>
      </c>
      <c r="B19" s="25" t="s">
        <v>324</v>
      </c>
    </row>
    <row r="20" spans="1:2" x14ac:dyDescent="0.3">
      <c r="A20" s="42" t="s">
        <v>325</v>
      </c>
      <c r="B20" s="25" t="s">
        <v>326</v>
      </c>
    </row>
    <row r="21" spans="1:2" x14ac:dyDescent="0.3">
      <c r="A21" s="40" t="s">
        <v>327</v>
      </c>
      <c r="B21" s="41" t="s">
        <v>328</v>
      </c>
    </row>
    <row r="22" spans="1:2" x14ac:dyDescent="0.3">
      <c r="A22" s="42" t="s">
        <v>329</v>
      </c>
      <c r="B22" s="25" t="s">
        <v>330</v>
      </c>
    </row>
    <row r="23" spans="1:2" x14ac:dyDescent="0.3">
      <c r="A23" s="40" t="s">
        <v>331</v>
      </c>
      <c r="B23" s="41" t="s">
        <v>332</v>
      </c>
    </row>
    <row r="24" spans="1:2" x14ac:dyDescent="0.3">
      <c r="A24" s="42" t="s">
        <v>333</v>
      </c>
      <c r="B24" s="25" t="s">
        <v>334</v>
      </c>
    </row>
    <row r="25" spans="1:2" x14ac:dyDescent="0.3">
      <c r="A25" s="42" t="s">
        <v>335</v>
      </c>
      <c r="B25" s="25" t="s">
        <v>336</v>
      </c>
    </row>
    <row r="26" spans="1:2" x14ac:dyDescent="0.3">
      <c r="A26" s="40" t="s">
        <v>337</v>
      </c>
      <c r="B26" s="41" t="s">
        <v>255</v>
      </c>
    </row>
    <row r="27" spans="1:2" x14ac:dyDescent="0.3">
      <c r="A27" s="42" t="s">
        <v>338</v>
      </c>
      <c r="B27" s="25" t="s">
        <v>339</v>
      </c>
    </row>
    <row r="28" spans="1:2" x14ac:dyDescent="0.3">
      <c r="A28" s="40" t="s">
        <v>340</v>
      </c>
      <c r="B28" s="41" t="s">
        <v>341</v>
      </c>
    </row>
    <row r="29" spans="1:2" x14ac:dyDescent="0.3">
      <c r="A29" s="42" t="s">
        <v>342</v>
      </c>
      <c r="B29" s="25" t="s">
        <v>343</v>
      </c>
    </row>
    <row r="30" spans="1:2" x14ac:dyDescent="0.3">
      <c r="A30" s="42" t="s">
        <v>344</v>
      </c>
      <c r="B30" s="25" t="s">
        <v>345</v>
      </c>
    </row>
    <row r="31" spans="1:2" x14ac:dyDescent="0.3">
      <c r="A31" s="42" t="s">
        <v>346</v>
      </c>
      <c r="B31" s="25" t="s">
        <v>347</v>
      </c>
    </row>
    <row r="32" spans="1:2" x14ac:dyDescent="0.3">
      <c r="A32" s="40" t="s">
        <v>348</v>
      </c>
      <c r="B32" s="41" t="s">
        <v>349</v>
      </c>
    </row>
    <row r="33" spans="1:2" x14ac:dyDescent="0.3">
      <c r="A33" s="42" t="s">
        <v>350</v>
      </c>
      <c r="B33" s="25" t="s">
        <v>351</v>
      </c>
    </row>
    <row r="34" spans="1:2" x14ac:dyDescent="0.3">
      <c r="A34" s="40" t="s">
        <v>352</v>
      </c>
      <c r="B34" s="41" t="s">
        <v>353</v>
      </c>
    </row>
    <row r="35" spans="1:2" x14ac:dyDescent="0.3">
      <c r="A35" s="42" t="s">
        <v>354</v>
      </c>
      <c r="B35" s="25" t="s">
        <v>355</v>
      </c>
    </row>
    <row r="36" spans="1:2" x14ac:dyDescent="0.3">
      <c r="A36" s="40" t="s">
        <v>356</v>
      </c>
      <c r="B36" s="41" t="s">
        <v>357</v>
      </c>
    </row>
    <row r="37" spans="1:2" x14ac:dyDescent="0.3">
      <c r="A37" s="42" t="s">
        <v>358</v>
      </c>
      <c r="B37" s="25" t="s">
        <v>359</v>
      </c>
    </row>
    <row r="38" spans="1:2" x14ac:dyDescent="0.3">
      <c r="A38" s="42" t="s">
        <v>360</v>
      </c>
      <c r="B38" s="25" t="s">
        <v>361</v>
      </c>
    </row>
    <row r="39" spans="1:2" x14ac:dyDescent="0.3">
      <c r="A39" s="40" t="s">
        <v>362</v>
      </c>
      <c r="B39" s="41" t="s">
        <v>363</v>
      </c>
    </row>
    <row r="40" spans="1:2" x14ac:dyDescent="0.3">
      <c r="A40" s="42" t="s">
        <v>364</v>
      </c>
      <c r="B40" s="25" t="s">
        <v>365</v>
      </c>
    </row>
    <row r="41" spans="1:2" x14ac:dyDescent="0.3">
      <c r="A41" s="42" t="s">
        <v>366</v>
      </c>
      <c r="B41" s="25" t="s">
        <v>367</v>
      </c>
    </row>
    <row r="42" spans="1:2" x14ac:dyDescent="0.3">
      <c r="A42" s="40" t="s">
        <v>368</v>
      </c>
      <c r="B42" s="41" t="s">
        <v>369</v>
      </c>
    </row>
    <row r="43" spans="1:2" x14ac:dyDescent="0.3">
      <c r="A43" s="42" t="s">
        <v>370</v>
      </c>
      <c r="B43" s="25" t="s">
        <v>371</v>
      </c>
    </row>
    <row r="44" spans="1:2" x14ac:dyDescent="0.3">
      <c r="A44" s="42" t="s">
        <v>372</v>
      </c>
      <c r="B44" s="25" t="s">
        <v>373</v>
      </c>
    </row>
    <row r="45" spans="1:2" x14ac:dyDescent="0.3">
      <c r="A45" s="40" t="s">
        <v>374</v>
      </c>
      <c r="B45" s="41" t="s">
        <v>375</v>
      </c>
    </row>
    <row r="46" spans="1:2" x14ac:dyDescent="0.3">
      <c r="A46" s="42" t="s">
        <v>376</v>
      </c>
      <c r="B46" s="25" t="s">
        <v>377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1b8bd081-79b8-48e6-8f06-f415923ccd08}" enabled="1" method="Privileged" siteId="{a09d47cb-5116-4c40-b3a5-64b668d7ed4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 Şeması</vt:lpstr>
      <vt:lpstr>Kurulum Rehberi</vt:lpstr>
      <vt:lpstr>Görev Takip</vt:lpstr>
      <vt:lpstr>İlerleme Paneli</vt:lpstr>
      <vt:lpstr>Proje Yapısı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Berkin Kabaağaç</cp:lastModifiedBy>
  <cp:revision>0</cp:revision>
  <dcterms:created xsi:type="dcterms:W3CDTF">2026-02-24T07:08:10Z</dcterms:created>
  <dcterms:modified xsi:type="dcterms:W3CDTF">2026-02-24T07:11:20Z</dcterms:modified>
  <dc:language>en-US</dc:language>
</cp:coreProperties>
</file>